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giussanie\izsve\develop\FluMut\MutFinder\src\data\"/>
    </mc:Choice>
  </mc:AlternateContent>
  <bookViews>
    <workbookView xWindow="0" yWindow="0" windowWidth="28800" windowHeight="12300"/>
  </bookViews>
  <sheets>
    <sheet name="Markers per sample" sheetId="3" r:id="rId1"/>
    <sheet name="Mutations" sheetId="6" r:id="rId2"/>
    <sheet name="Markers" sheetId="1" r:id="rId3"/>
  </sheets>
  <calcPr calcId="0"/>
  <pivotCaches>
    <pivotCache cacheId="0" r:id="rId4"/>
  </pivotCaches>
</workbook>
</file>

<file path=xl/sharedStrings.xml><?xml version="1.0" encoding="utf-8"?>
<sst xmlns="http://schemas.openxmlformats.org/spreadsheetml/2006/main" count="12" uniqueCount="7">
  <si>
    <t>Sample</t>
  </si>
  <si>
    <t>Marker mutations</t>
  </si>
  <si>
    <t>Found mutations</t>
  </si>
  <si>
    <t>Effect</t>
  </si>
  <si>
    <t>Subtype</t>
  </si>
  <si>
    <t>Papers</t>
  </si>
  <si>
    <t>(vuoto)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</si>
</sst>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wrapText="1"/>
    </xf>
  </cellXfs>
  <cellStyles count="1">
    <cellStyle name="Normale" xfId="0" builtinId="0"/>
  </cellStyles>
  <dxfs count="1">
    <dxf>
      <alignment wrapText="1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iussani Edoardo" refreshedDate="45359.537831828704" createdVersion="6" refreshedVersion="6" minRefreshableVersion="3" recordCount="1">
  <cacheSource type="worksheet">
    <worksheetSource name="MarkersTable"/>
  </cacheSource>
  <cacheFields count="6">
    <cacheField name="Sample" numFmtId="0">
      <sharedItems containsNonDate="0" containsBlank="1" count="11">
        <m/>
        <s v="A/roseate_tern/Ireland/PV23-017002_23VIR7929-8/2023_H5N1_2023-06-12" u="1"/>
        <s v="A/common_tern/Ireland/PV23-018145_23VIR7929-10/2023_H5N1_2023-06-21" u="1"/>
        <s v="A/common_gull/Ireland/PV23-001628_23VIR7929-1/2023_H5N1_2023_2023-01-23" u="1"/>
        <s v="A/whooper_swan/Ireland/PV23-003386_23VIR7929-4/2023_H5N1_2023-02-09" u="1"/>
        <s v="A/buzzard/Ireland/PV23-002231_23VIR7929-2/2023_H5N1_2023-01-26" u="1"/>
        <s v="A/common_tern/Ireland/PV23-007244_23VIR7929-6/2023_H5N1_2023-03-13" u="1"/>
        <s v="A/common_gull/Ireland/PV23-020102_23VIR7929-14/2023_H5N1_2023-07-04" u="1"/>
        <s v="A/black-headed_gull/Ireland/23VIR7929-1/2023_H5N1_2023-01-12" u="1"/>
        <s v="A/peregrine_falcon/Ireland/PV23-017864_23VIR7929-9/2023_H5N1/2023-06-19" u="1"/>
        <s v="A/black-headed_gull/Ireland/PV23-010993_23VIR7929-7/2023_H5N1_2023-04-18" u="1"/>
      </sharedItems>
    </cacheField>
    <cacheField name="Marker mutations" numFmtId="0">
      <sharedItems containsNonDate="0" containsBlank="1" count="59">
        <m/>
        <s v="HA1-5:T156A,HA1-5:K189T,HA1-5:N220K,HA1-5:Q222L" u="1"/>
        <s v="NA-1:I117V,NA-1:I314V" u="1"/>
        <s v="HA1-5:T156A,HA1-5:Q222L" u="1"/>
        <s v="HA1-5:S133A" u="1"/>
        <s v="PA:S149P,PA:H266R,PA:I357K,PA:S515T" u="1"/>
        <s v="PB2:K389R" u="1"/>
        <s v="PB1:V473L,PB1:P598L" u="1"/>
        <s v="M1:N30D" u="1"/>
        <s v="NP:A184K" u="1"/>
        <s v="HA1-5:S133A,HA1-5:T188I" u="1"/>
        <s v="HA1-5:T156A" u="1"/>
        <s v="PB2:L89V,PB2:G309D" u="1"/>
        <s v="HA1-5:S155N,HA1-5:T156A" u="1"/>
        <s v="NP:R99K,NP:S345N,HA1-5:H103Y,HA1-5:T156A,HA1-5:Q222L,HA1-5:G224S,PB2:E627K,PB1:H99Y,PB1:I368V" u="1"/>
        <s v="HA1-5:K218Q,HA1-5:S223R" u="1"/>
        <s v="NS-1:V149A" u="1"/>
        <s v="PA:V44I,PA:V127A,PA:C241Y,PA:A343T,PA:I573V" u="1"/>
        <s v="HA1-5:T156A,HA1-5:Q222L,HA1-5:G224S" u="1"/>
        <s v="HA1-5:V182N,HA1-5:N220K,HA1-5:G224S" u="1"/>
        <s v="HA1-5:S107R,HA1-5:T108I" u="1"/>
        <s v="NP:M105V" u="1"/>
        <s v="NS-1:L103F,NS-1:I106M" u="1"/>
        <s v="PB2:S715N" u="1"/>
        <s v="HA1-5:E75K,HA1-5:S123P,HA1-5:N193K,HA2-5:R167K" u="1"/>
        <s v="HA2-5:K64E" u="1"/>
        <s v="PA:A343S,PA:D347E" u="1"/>
        <s v="PB1:D622G" u="1"/>
        <s v="M1:T215A" u="1"/>
        <s v="PB2:V598T" u="1"/>
        <s v="NS-1:N205S,NS-2:T47A" u="1"/>
        <s v="NS-1:D74N,NS-1:P3S,NS-1:R41K" u="1"/>
        <s v="HA1-5:T156A,HA1-5:S223N" u="1"/>
        <s v="PB2:L89V,PB2:G309D,PB2:T339K,PB2:R477G,PB2:I495V,PB2:K627E,PB2:A676T" u="1"/>
        <s v="PB1-F2:T51M,PB1-F2:V56A,PB1-F2:E87G" u="1"/>
        <s v="HA1-5:V182N,HA1-5:N224K" u="1"/>
        <s v="HA1-5:S123P,HA1-5:N193K,HA2-5:R167K" u="1"/>
        <s v="NS-1:C138F" u="1"/>
        <s v="NS-1:I106M" u="1"/>
        <s v="PA:S37A" u="1"/>
        <s v="HA1-5:S123P,HA2-5:R167K" u="1"/>
        <s v="HA1-5:E75K,HA1-5:S123P,HA2-5:R167K" u="1"/>
        <s v="PB2:K627E" u="1"/>
        <s v="HA1-5:S155N,HA1-5:T156A,HA1-5:S223N" u="1"/>
        <s v="HA1-5:S154N" u="1"/>
        <s v="PA:N383D" u="1"/>
        <s v="NP:I41V" u="1"/>
        <s v="PA:N409S" u="1"/>
        <s v="PB1-F2:N66S" u="1"/>
        <s v="HA1-5:S123P,HA1-5:N193K" u="1"/>
        <s v="NS-1:C138F,NS-1:K55E,NS-1:K66E" u="1"/>
        <s v="HA1-5:V182N" u="1"/>
        <s v="PA:P190S" u="1"/>
        <s v="HA1-5:E75K,HA1-5:S123P" u="1"/>
        <s v="M1:I43M" u="1"/>
        <s v="PA:S224P,PA:N383D" u="1"/>
        <s v="PB1:D3V" u="1"/>
        <s v="NS-1:P42S" u="1"/>
        <s v="HA1-5:H103Y,HA1-5:T156A,HA1-5:Q222L,HA1-5:G224S,PB2:E627K,PB1:H99Y" u="1"/>
      </sharedItems>
    </cacheField>
    <cacheField name="Found mutations" numFmtId="0">
      <sharedItems containsNonDate="0" containsBlank="1" count="45">
        <m/>
        <s v="M1:T215A" u="1"/>
        <s v="M1:I43M" u="1"/>
        <s v="NP:I41V" u="1"/>
        <s v="NS-1:N205S" u="1"/>
        <s v="PB2:K389R" u="1"/>
        <s v="M1:N30D" u="1"/>
        <s v="PB2:V598T" u="1"/>
        <s v="HA1-5:T156A" u="1"/>
        <s v="PB1-F2:T51M,PB1-F2:V56A" u="1"/>
        <s v="HA1-5:K218Q,HA1-5:S223R" u="1"/>
        <s v="NS-1:L103F,NS-1:I106M" u="1"/>
        <s v="HA1-5:S107R,HA1-5:T108I" u="1"/>
        <s v="NP:M105V" u="1"/>
        <s v="PB2:K627E" u="1"/>
        <s v="NS-1:C138F,NS-1:K55E,NS-1:K66E" u="1"/>
        <s v="PB2:L89V,PB2:G309D,PB2:T339K,PB2:R477G,PB2:I495V,PB2:K627E,PB2:A676T" u="1"/>
        <s v="PA:S37A" u="1"/>
        <s v="NS-1:P3S,NS-1:R41K" u="1"/>
        <s v="HA1-5:S154N" u="1"/>
        <s v="PB1:D3V" u="1"/>
        <s v="PB1:P598L" u="1"/>
        <s v="PA:C241Y" u="1"/>
        <s v="HA1-5:S123P" u="1"/>
        <s v="HA1-5:S133A" u="1"/>
        <s v="HA1-5:V182N" u="1"/>
        <s v="PA:S515T" u="1"/>
        <s v="NS-1:P42S" u="1"/>
        <s v="PA:N409S" u="1"/>
        <s v="PB2:S715N" u="1"/>
        <s v="PB2:L89V,PB2:G309D" u="1"/>
        <s v="PB1-F2:N66S" u="1"/>
        <s v="PA:N383D" u="1"/>
        <s v="PA:H266R,PA:S515T" u="1"/>
        <s v="PA:P190S" u="1"/>
        <s v="PB1:D622G" u="1"/>
        <s v="NS-1:V149A" u="1"/>
        <s v="PB2:L89V,PB2:K627E,PB2:A676T" u="1"/>
        <s v="PA:A343S" u="1"/>
        <s v="PB2:L89V" u="1"/>
        <s v="NA-1:I314V" u="1"/>
        <s v="NP:A184K" u="1"/>
        <s v="NS-1:C138F" u="1"/>
        <s v="HA2-5:K64E" u="1"/>
        <s v="NS-1:I106M" u="1"/>
      </sharedItems>
    </cacheField>
    <cacheField name="Effect" numFmtId="0">
      <sharedItems containsNonDate="0" containsBlank="1" count="45">
        <m/>
        <s v="Enhanced antiviral response in mice" u="1"/>
        <s v="Increased pseudovirus binding to α2-6" u="1"/>
        <s v="Decreased antiviral response in mice" u="1"/>
        <s v="Decreased HA stability" u="1"/>
        <s v="Increased polymerase activity in avian cells" u="1"/>
        <s v="Contact transmission in guinea pigs" u="1"/>
        <s v="Decreased interferon response in chickens" u="1"/>
        <s v="Increased replication in avian cells" u="1"/>
        <s v="Increased transmission in guinea pigs" u="1"/>
        <s v="Enhanced replication in mammalian cells" u="1"/>
        <s v="Increased polymerase activity in duck cells" u="1"/>
        <s v="Enhanced virulence in mice" u="1"/>
        <s v="Increased polymerase activity in mammalian cells" u="1"/>
        <s v="Enhanced interferon response" u="1"/>
        <s v="Decreased antiviral response in ferrets" u="1"/>
        <s v="Normal Inhibition to Peramivir" u="1"/>
        <s v="Increased replication in mammalian cells" u="1"/>
        <s v="Reduced inhibition to Oseltamivir" u="1"/>
        <s v="Increased pH of fusion" u="1"/>
        <s v="Increased virus binding to α2-6" u="1"/>
        <s v="Decreased polymerase activity in mammalian cells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Decreased replication in ducks" u="1"/>
        <s v="Decreased virulence in mice" u="1"/>
        <s v="Enhanced replication in mice cells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8">
        <m/>
        <s v="H7N9" u="1"/>
        <s v="H13N6" u="1"/>
        <s v="H1N1 with PB2, PB1, PA NP from H5N1" u="1"/>
        <s v="H7N3" u="1"/>
        <s v="H7N1 backbone with H5N1 NS" u="1"/>
        <s v="H5N1" u="1"/>
        <s v="H1N1 with all internal genes from H7N9" u="1"/>
      </sharedItems>
    </cacheField>
    <cacheField name="Papers" numFmtId="0">
      <sharedItems containsNonDate="0" containsBlank="1" count="45">
        <m/>
        <s v="Suttie A. et al., 2019; Yang Z. et al., 2007" u="1"/>
        <s v="Elgendy E. et al., 2017; Suttie A. et al., 2019" u="1"/>
        <s v="DesRochers B. et al., 2016; Suttie A. et al., 2019" u="1"/>
        <s v="Imai H. et al., 2010; Suttie A. et al., 2019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Hurt A. et al., 2007" u="1"/>
        <s v="Feng X. et al., 2016; Suttie A. et al., 2019" u="1"/>
        <s v="Suttie A. et al., 2019; Xu C. et al., 2012" u="1"/>
        <s v="Hurt A. et al., 2007; Suttie A. et al., 2019" u="1"/>
        <s v="Fan S. et al., 2009; Suttie A. et al., 2019" u="1"/>
        <s v="Li Z. et al., 2006; Suttie A. et al., 2019" u="1"/>
        <s v="Ayllon J. et al., 2014; Suttie A. et al., 2019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Suttie A. et al., 2019; Tada T. et al., 2011; Tada T. et al., 2011b" u="1"/>
        <s v="Peng W. et al., 2018; Suttie A. et al., 2019" u="1"/>
        <s v="Schat K. et al., 2012; Suttie A. et al., 2019" u="1"/>
        <s v="Kanrai P. et al., 2016; Suttie A. et al., 2019" u="1"/>
        <s v="Marjuki H. et al., 2010; Suttie A. et al., 2019" u="1"/>
        <s v="Suttie A. et al., 2019; Wang W. et al., 2010" u="1"/>
        <s v="Herfst S. et al., 2012; Suttie A. et al., 2019" u="1"/>
        <s v="Kuo R. et al., 2009; Spesock A. et al., 2011; Suttie A. et al., 2019" u="1"/>
        <s v="Suttie A. et al., 2019; Wang F. et al., 2015; Wang W. et al., 2010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Song J. et al., 2011; Song J. et al., 2015; Suttie A. et al., 2019" u="1"/>
        <s v="Suttie A. et al., 2019; Zhu W. et al., 2015" u="1"/>
        <s v="Suttie A. et al., 2019; de Vries R. et al., 2017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0" applyNumberFormats="0" applyBorderFormats="0" applyFontFormats="0" applyPatternFormats="0" applyAlignmentFormats="0" applyWidthHeightFormats="1" dataCaption="Valori" updatedVersion="6" minRefreshableVersion="3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11">
        <item m="1" x="8"/>
        <item sd="0" m="1" x="10"/>
        <item sd="0" m="1" x="5"/>
        <item sd="0" m="1" x="3"/>
        <item sd="0" m="1" x="7"/>
        <item sd="0" m="1" x="6"/>
        <item sd="0" m="1" x="2"/>
        <item sd="0" m="1" x="9"/>
        <item sd="0" m="1" x="1"/>
        <item sd="0" m="1" x="4"/>
        <item x="0"/>
      </items>
    </pivotField>
    <pivotField axis="axisRow" compact="0" outline="0" showAll="0" defaultSubtotal="0">
      <items count="59">
        <item m="1" x="53"/>
        <item m="1" x="24"/>
        <item m="1" x="41"/>
        <item m="1" x="58"/>
        <item m="1" x="15"/>
        <item m="1" x="20"/>
        <item m="1" x="49"/>
        <item m="1" x="36"/>
        <item m="1" x="40"/>
        <item m="1" x="4"/>
        <item m="1" x="10"/>
        <item m="1" x="44"/>
        <item m="1" x="13"/>
        <item m="1" x="43"/>
        <item m="1" x="11"/>
        <item m="1" x="1"/>
        <item m="1" x="3"/>
        <item m="1" x="18"/>
        <item m="1" x="32"/>
        <item m="1" x="51"/>
        <item m="1" x="19"/>
        <item m="1" x="35"/>
        <item m="1" x="25"/>
        <item m="1" x="54"/>
        <item m="1" x="8"/>
        <item m="1" x="28"/>
        <item m="1" x="2"/>
        <item m="1" x="9"/>
        <item m="1" x="46"/>
        <item m="1" x="21"/>
        <item m="1" x="14"/>
        <item m="1" x="37"/>
        <item m="1" x="50"/>
        <item m="1" x="31"/>
        <item m="1" x="38"/>
        <item m="1" x="22"/>
        <item m="1" x="30"/>
        <item m="1" x="57"/>
        <item m="1" x="16"/>
        <item m="1" x="26"/>
        <item m="1" x="45"/>
        <item m="1" x="47"/>
        <item m="1" x="52"/>
        <item m="1" x="5"/>
        <item m="1" x="55"/>
        <item m="1" x="39"/>
        <item m="1" x="17"/>
        <item m="1" x="56"/>
        <item m="1" x="27"/>
        <item m="1" x="7"/>
        <item m="1" x="48"/>
        <item m="1" x="34"/>
        <item m="1" x="6"/>
        <item m="1" x="42"/>
        <item m="1" x="12"/>
        <item m="1" x="33"/>
        <item m="1" x="23"/>
        <item m="1" x="29"/>
        <item x="0"/>
      </items>
    </pivotField>
    <pivotField axis="axisRow" compact="0" outline="0" showAll="0" defaultSubtotal="0">
      <items count="45">
        <item m="1" x="10"/>
        <item m="1" x="12"/>
        <item m="1" x="23"/>
        <item m="1" x="24"/>
        <item m="1" x="19"/>
        <item m="1" x="8"/>
        <item m="1" x="25"/>
        <item m="1" x="43"/>
        <item m="1" x="2"/>
        <item m="1" x="6"/>
        <item m="1" x="1"/>
        <item m="1" x="40"/>
        <item m="1" x="41"/>
        <item m="1" x="3"/>
        <item m="1" x="13"/>
        <item m="1" x="42"/>
        <item m="1" x="15"/>
        <item m="1" x="44"/>
        <item m="1" x="11"/>
        <item m="1" x="4"/>
        <item m="1" x="18"/>
        <item m="1" x="27"/>
        <item m="1" x="36"/>
        <item m="1" x="38"/>
        <item m="1" x="22"/>
        <item m="1" x="33"/>
        <item m="1" x="32"/>
        <item m="1" x="28"/>
        <item m="1" x="34"/>
        <item m="1" x="17"/>
        <item m="1" x="26"/>
        <item m="1" x="20"/>
        <item m="1" x="35"/>
        <item m="1" x="21"/>
        <item m="1" x="31"/>
        <item m="1" x="9"/>
        <item m="1" x="5"/>
        <item m="1" x="14"/>
        <item m="1" x="39"/>
        <item m="1" x="30"/>
        <item m="1" x="16"/>
        <item m="1" x="37"/>
        <item m="1" x="29"/>
        <item m="1" x="7"/>
        <item x="0"/>
      </items>
    </pivotField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7"/>
        <item m="1" x="3"/>
        <item m="1" x="6"/>
        <item m="1" x="5"/>
        <item m="1" x="4"/>
        <item m="1" x="1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1">
    <format dxfId="0">
      <pivotArea dataOnly="0" labelOnly="1" outline="0" fieldPosition="0">
        <references count="1">
          <reference field="1" count="0"/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ivotSheet"/>
  <dimension ref="A1:F2"/>
  <sheetViews>
    <sheetView tabSelected="1" workbookViewId="0"/>
  </sheetViews>
  <sheetFormatPr defaultRowHeight="15" x14ac:dyDescent="0.25"/>
  <cols>
    <col min="1" max="1" width="76" customWidth="1"/>
    <col min="2" max="2" width="71.42578125" customWidth="1"/>
    <col min="3" max="3" width="22.85546875" customWidth="1"/>
    <col min="4" max="4" width="38.28515625" customWidth="1"/>
    <col min="6" max="6" width="9.28515625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t="s">
        <v>6</v>
      </c>
      <c r="B2" s="2" t="s">
        <v>6</v>
      </c>
      <c r="C2" t="s">
        <v>6</v>
      </c>
      <c r="D2" t="s">
        <v>6</v>
      </c>
      <c r="E2" t="s">
        <v>6</v>
      </c>
      <c r="F2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FD51-78F5-4790-B458-35CB80FD54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Markers per sample</vt:lpstr>
      <vt:lpstr>Mutations</vt:lpstr>
      <vt:lpstr>Markers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2024-03-08T14:31:58Z</dcterms:modified>
</cp:coreProperties>
</file>